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z_reading\ResearchMethods\0_StatisticalMethod\"/>
    </mc:Choice>
  </mc:AlternateContent>
  <bookViews>
    <workbookView xWindow="240" yWindow="105" windowWidth="14805" windowHeight="8010"/>
  </bookViews>
  <sheets>
    <sheet name="Sheet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C13" i="1" l="1"/>
  <c r="D6" i="1" l="1"/>
  <c r="E6" i="1" s="1"/>
  <c r="D5" i="1"/>
  <c r="E5" i="1" s="1"/>
</calcChain>
</file>

<file path=xl/sharedStrings.xml><?xml version="1.0" encoding="utf-8"?>
<sst xmlns="http://schemas.openxmlformats.org/spreadsheetml/2006/main" count="12" uniqueCount="12">
  <si>
    <t>X</t>
    <phoneticPr fontId="1" type="noConversion"/>
  </si>
  <si>
    <t>Y</t>
    <phoneticPr fontId="1" type="noConversion"/>
  </si>
  <si>
    <t>Predicted</t>
    <phoneticPr fontId="1" type="noConversion"/>
  </si>
  <si>
    <t>NSE</t>
    <phoneticPr fontId="1" type="noConversion"/>
  </si>
  <si>
    <t>1:1 Line</t>
    <phoneticPr fontId="1" type="noConversion"/>
  </si>
  <si>
    <t>PERR</t>
    <phoneticPr fontId="1" type="noConversion"/>
  </si>
  <si>
    <t>PBIAS</t>
    <phoneticPr fontId="1" type="noConversion"/>
  </si>
  <si>
    <t>RSQUARE</t>
  </si>
  <si>
    <t>RSR</t>
  </si>
  <si>
    <t>1、支持#VALUE!,#N/A,#DIV/0!等异常数值的存在，程序自动识别并排除该数据对；</t>
    <phoneticPr fontId="1" type="noConversion"/>
  </si>
  <si>
    <t>2、调用格式为“=NSCOE(rangeObs, rangePred)”</t>
    <phoneticPr fontId="1" type="noConversion"/>
  </si>
  <si>
    <t>MAE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</si>
</sst>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4"/>
      <color theme="1"/>
      <name val="宋体"/>
      <family val="2"/>
      <scheme val="minor"/>
    </font>
    <font>
      <sz val="14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top"/>
    </xf>
    <xf numFmtId="0" fontId="0" fillId="2" borderId="0" xfId="0" applyFill="1"/>
    <xf numFmtId="0" fontId="0" fillId="0" borderId="0" xfId="0" applyFill="1"/>
    <xf numFmtId="0" fontId="3" fillId="3" borderId="0" xfId="0" applyFont="1" applyFill="1"/>
    <xf numFmtId="0" fontId="4" fillId="3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86428590365599"/>
          <c:y val="6.8635051840239422E-2"/>
          <c:w val="0.79040844136907129"/>
          <c:h val="0.78740798802864576"/>
        </c:manualLayout>
      </c:layout>
      <c:scatterChart>
        <c:scatterStyle val="lineMarker"/>
        <c:varyColors val="0"/>
        <c:ser>
          <c:idx val="1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Sheet1!$B$5:$B$20</c:f>
              <c:numCache>
                <c:formatCode>General</c:formatCode>
                <c:ptCount val="16"/>
                <c:pt idx="0">
                  <c:v>2.9214421972107725</c:v>
                </c:pt>
                <c:pt idx="1">
                  <c:v>2.7511997095444545</c:v>
                </c:pt>
                <c:pt idx="2">
                  <c:v>2.0057363261644916</c:v>
                </c:pt>
                <c:pt idx="3">
                  <c:v>1.0921893941011895</c:v>
                </c:pt>
                <c:pt idx="4">
                  <c:v>2.8721618008243812</c:v>
                </c:pt>
                <c:pt idx="5">
                  <c:v>1.429505670290242</c:v>
                </c:pt>
                <c:pt idx="6">
                  <c:v>1.9558150139888515</c:v>
                </c:pt>
                <c:pt idx="7">
                  <c:v>4.0005132520342563</c:v>
                </c:pt>
                <c:pt idx="8">
                  <c:v>2.2434333554022596</c:v>
                </c:pt>
                <c:pt idx="9">
                  <c:v>29.283536723405163</c:v>
                </c:pt>
                <c:pt idx="10">
                  <c:v>5.8843470943766949</c:v>
                </c:pt>
                <c:pt idx="11">
                  <c:v>0.86446951284625062</c:v>
                </c:pt>
                <c:pt idx="12">
                  <c:v>13.214531320077738</c:v>
                </c:pt>
              </c:numCache>
            </c:numRef>
          </c:xVal>
          <c:yVal>
            <c:numRef>
              <c:f>Sheet1!$C$5:$C$20</c:f>
              <c:numCache>
                <c:formatCode>General</c:formatCode>
                <c:ptCount val="16"/>
                <c:pt idx="0">
                  <c:v>0</c:v>
                </c:pt>
                <c:pt idx="1">
                  <c:v>4.8784396454733781</c:v>
                </c:pt>
                <c:pt idx="2">
                  <c:v>1.9190278828780727</c:v>
                </c:pt>
                <c:pt idx="3">
                  <c:v>0.48809837900177255</c:v>
                </c:pt>
                <c:pt idx="4">
                  <c:v>#N/A</c:v>
                </c:pt>
                <c:pt idx="5">
                  <c:v>5.3641205253828241</c:v>
                </c:pt>
                <c:pt idx="6">
                  <c:v>1.8899648941759393</c:v>
                </c:pt>
                <c:pt idx="7">
                  <c:v>4.0777173884629345</c:v>
                </c:pt>
                <c:pt idx="8">
                  <c:v>0</c:v>
                </c:pt>
                <c:pt idx="9">
                  <c:v>19.720761670119387</c:v>
                </c:pt>
                <c:pt idx="10">
                  <c:v>7.0233649821668829</c:v>
                </c:pt>
                <c:pt idx="11">
                  <c:v>0</c:v>
                </c:pt>
                <c:pt idx="12">
                  <c:v>8.3976732460542891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8-466C-9129-4FDF17E66006}"/>
            </c:ext>
          </c:extLst>
        </c:ser>
        <c:ser>
          <c:idx val="0"/>
          <c:order val="1"/>
          <c:tx>
            <c:strRef>
              <c:f>Sheet1!$D$4</c:f>
              <c:strCache>
                <c:ptCount val="1"/>
                <c:pt idx="0">
                  <c:v>1:1 Line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Sheet1!$D$5:$D$6</c:f>
              <c:numCache>
                <c:formatCode>General</c:formatCode>
                <c:ptCount val="2"/>
                <c:pt idx="0">
                  <c:v>0</c:v>
                </c:pt>
                <c:pt idx="1">
                  <c:v>33</c:v>
                </c:pt>
              </c:numCache>
            </c:numRef>
          </c:xVal>
          <c:yVal>
            <c:numRef>
              <c:f>Sheet1!$E$5:$E$6</c:f>
              <c:numCache>
                <c:formatCode>General</c:formatCode>
                <c:ptCount val="2"/>
                <c:pt idx="0">
                  <c:v>0</c:v>
                </c:pt>
                <c:pt idx="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48-466C-9129-4FDF17E66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974840"/>
        <c:axId val="490975232"/>
      </c:scatterChart>
      <c:valAx>
        <c:axId val="490974840"/>
        <c:scaling>
          <c:orientation val="minMax"/>
          <c:max val="3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altLang="zh-CN" sz="16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6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Observation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altLang="zh-CN" sz="16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zh-CN" altLang="en-US" sz="14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490975232"/>
        <c:crosses val="autoZero"/>
        <c:crossBetween val="midCat"/>
      </c:valAx>
      <c:valAx>
        <c:axId val="490975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6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Simulation</a:t>
                </a:r>
                <a:endParaRPr lang="zh-CN" altLang="en-US" sz="16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490974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8888857074683842"/>
          <c:y val="9.9170081115426162E-2"/>
          <c:w val="0.24373074577798987"/>
          <c:h val="7.76337573187966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581024</xdr:colOff>
      <xdr:row>3</xdr:row>
      <xdr:rowOff>76200</xdr:rowOff>
    </xdr:from>
    <xdr:to>
      <xdr:col>13</xdr:col>
      <xdr:colOff>495299</xdr:colOff>
      <xdr:row>26</xdr:row>
      <xdr:rowOff>171450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FECD92C2-0063-4E19-BB2D-4E900E0F7A78}"/>
            </a:ext>
          </a:extLst>
        </xdr:cNvPr>
        <xdr:cNvGrpSpPr/>
      </xdr:nvGrpSpPr>
      <xdr:grpSpPr>
        <a:xfrm>
          <a:off x="4762499" y="723900"/>
          <a:ext cx="4714875" cy="4210050"/>
          <a:chOff x="4524374" y="1162050"/>
          <a:chExt cx="4714875" cy="4210050"/>
        </a:xfrm>
      </xdr:grpSpPr>
      <xdr:graphicFrame macro="">
        <xdr:nvGraphicFramePr>
          <xdr:cNvPr id="2" name="图表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4524374" y="1162050"/>
          <a:ext cx="4714875" cy="4210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5476874" y="1495425"/>
            <a:ext cx="1924050" cy="564257"/>
            <a:chOff x="5991224" y="1200150"/>
            <a:chExt cx="1924050" cy="564257"/>
          </a:xfrm>
        </xdr:grpSpPr>
        <xdr:sp macro="" textlink="$B$31">
          <xdr:nvSpPr>
            <xdr:cNvPr id="3" name="文本框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972299" y="1200150"/>
              <a:ext cx="942975" cy="5642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fld id="{56A8B741-CD21-4EAB-9FF6-0D2356CC9939}" type="TxLink">
                <a:rPr lang="en-US" altLang="en-US" sz="1600" b="0" i="0" u="none" strike="noStrike">
                  <a:solidFill>
                    <a:srgbClr val="000000"/>
                  </a:solidFill>
                  <a:latin typeface="Times New Roman" panose="02020603050405020304" pitchFamily="18" charset="0"/>
                  <a:ea typeface="宋体"/>
                  <a:cs typeface="Times New Roman" panose="02020603050405020304" pitchFamily="18" charset="0"/>
                </a:rPr>
                <a:pPr/>
                <a:t>0.807409341</a:t>
              </a:fld>
              <a:endParaRPr lang="zh-CN" altLang="en-US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4" name="文本框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991224" y="1228725"/>
              <a:ext cx="1343025" cy="3333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400">
                  <a:latin typeface="Times New Roman" panose="02020603050405020304" pitchFamily="18" charset="0"/>
                  <a:cs typeface="Times New Roman" panose="02020603050405020304" pitchFamily="18" charset="0"/>
                </a:rPr>
                <a:t>Nash</a:t>
              </a:r>
              <a:r>
                <a:rPr lang="en-US" altLang="zh-CN" sz="14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Coef. :</a:t>
              </a:r>
              <a:endParaRPr lang="zh-CN" altLang="en-US" sz="14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6"/>
  <sheetViews>
    <sheetView tabSelected="1" zoomScaleNormal="100" workbookViewId="0">
      <selection activeCell="L29" sqref="L29"/>
    </sheetView>
  </sheetViews>
  <sheetFormatPr defaultRowHeight="13.5" x14ac:dyDescent="0.15"/>
  <cols>
    <col min="1" max="1" width="9" customWidth="1"/>
    <col min="3" max="3" width="9.875" customWidth="1"/>
  </cols>
  <sheetData>
    <row r="1" spans="1:8" ht="18.75" x14ac:dyDescent="0.25">
      <c r="A1" s="4" t="s">
        <v>9</v>
      </c>
      <c r="B1" s="5"/>
      <c r="C1" s="5"/>
      <c r="D1" s="5"/>
      <c r="E1" s="5"/>
      <c r="F1" s="5"/>
      <c r="G1" s="5"/>
      <c r="H1" s="5"/>
    </row>
    <row r="2" spans="1:8" ht="18.75" x14ac:dyDescent="0.25">
      <c r="A2" s="5" t="s">
        <v>10</v>
      </c>
      <c r="B2" s="5"/>
      <c r="C2" s="5"/>
      <c r="D2" s="5"/>
      <c r="E2" s="5"/>
      <c r="F2" s="5"/>
      <c r="G2" s="5"/>
      <c r="H2" s="5"/>
    </row>
    <row r="4" spans="1:8" x14ac:dyDescent="0.15">
      <c r="A4" t="s">
        <v>0</v>
      </c>
      <c r="B4" t="s">
        <v>1</v>
      </c>
      <c r="C4" t="s">
        <v>2</v>
      </c>
      <c r="D4" t="s">
        <v>4</v>
      </c>
    </row>
    <row r="5" spans="1:8" x14ac:dyDescent="0.15">
      <c r="A5">
        <v>2.0517263667880798</v>
      </c>
      <c r="B5">
        <v>2.9214421972107725</v>
      </c>
      <c r="C5" s="2" t="e">
        <v>#VALUE!</v>
      </c>
      <c r="D5">
        <f>MIN(MIN(B5:B30),0)</f>
        <v>0</v>
      </c>
      <c r="E5">
        <f>D5</f>
        <v>0</v>
      </c>
    </row>
    <row r="6" spans="1:8" x14ac:dyDescent="0.15">
      <c r="A6">
        <v>2.0890912682297702</v>
      </c>
      <c r="B6">
        <v>2.7511997095444545</v>
      </c>
      <c r="C6">
        <v>4.8784396454733781</v>
      </c>
      <c r="D6">
        <f>INT(MAX(B5:B30)*1.1)+1</f>
        <v>33</v>
      </c>
      <c r="E6">
        <f>D6</f>
        <v>33</v>
      </c>
    </row>
    <row r="7" spans="1:8" x14ac:dyDescent="0.15">
      <c r="A7">
        <v>2.0915468777660302</v>
      </c>
      <c r="B7">
        <v>2.0057363261644916</v>
      </c>
      <c r="C7">
        <v>1.9190278828780727</v>
      </c>
    </row>
    <row r="8" spans="1:8" x14ac:dyDescent="0.15">
      <c r="A8">
        <v>2.09541500535583</v>
      </c>
      <c r="B8">
        <v>1.0921893941011895</v>
      </c>
      <c r="C8">
        <v>0.48809837900177255</v>
      </c>
    </row>
    <row r="9" spans="1:8" x14ac:dyDescent="0.15">
      <c r="A9">
        <v>2.09814398530383</v>
      </c>
      <c r="B9">
        <v>2.8721618008243812</v>
      </c>
      <c r="C9" s="2" t="e">
        <v>#N/A</v>
      </c>
    </row>
    <row r="10" spans="1:8" x14ac:dyDescent="0.15">
      <c r="A10">
        <v>2.1154980100196599</v>
      </c>
      <c r="B10">
        <v>1.429505670290242</v>
      </c>
      <c r="C10">
        <v>5.3641205253828241</v>
      </c>
      <c r="D10">
        <v>2.7511997095444545</v>
      </c>
      <c r="E10">
        <v>4.8784396454733781</v>
      </c>
    </row>
    <row r="11" spans="1:8" x14ac:dyDescent="0.15">
      <c r="A11">
        <v>2.0768475227041798</v>
      </c>
      <c r="B11">
        <v>1.9558150139888515</v>
      </c>
      <c r="C11">
        <v>1.8899648941759393</v>
      </c>
      <c r="D11">
        <v>2.0057363261644916</v>
      </c>
      <c r="E11">
        <v>1.9190278828780727</v>
      </c>
    </row>
    <row r="12" spans="1:8" x14ac:dyDescent="0.15">
      <c r="A12">
        <v>2.07792511852786</v>
      </c>
      <c r="B12">
        <v>4.0005132520342563</v>
      </c>
      <c r="C12">
        <v>4.0777173884629345</v>
      </c>
      <c r="D12">
        <v>1.0921893941011895</v>
      </c>
      <c r="E12">
        <v>0.48809837900177255</v>
      </c>
    </row>
    <row r="13" spans="1:8" x14ac:dyDescent="0.15">
      <c r="A13">
        <v>1.5750581844181899</v>
      </c>
      <c r="B13">
        <v>2.2434333554022596</v>
      </c>
      <c r="C13" s="2" t="e">
        <f>1/0</f>
        <v>#DIV/0!</v>
      </c>
      <c r="D13">
        <v>1.429505670290242</v>
      </c>
      <c r="E13">
        <v>5.3641205253828241</v>
      </c>
    </row>
    <row r="14" spans="1:8" x14ac:dyDescent="0.15">
      <c r="A14">
        <v>1.9075378470069699</v>
      </c>
      <c r="B14">
        <v>29.283536723405163</v>
      </c>
      <c r="C14">
        <v>19.720761670119387</v>
      </c>
      <c r="D14">
        <v>1.9558150139888515</v>
      </c>
      <c r="E14">
        <v>1.8899648941759393</v>
      </c>
    </row>
    <row r="15" spans="1:8" x14ac:dyDescent="0.15">
      <c r="A15">
        <v>1.74282655846169</v>
      </c>
      <c r="B15">
        <v>5.8843470943766949</v>
      </c>
      <c r="C15">
        <v>7.0233649821668829</v>
      </c>
      <c r="D15">
        <v>4.0005132520342563</v>
      </c>
      <c r="E15">
        <v>4.0777173884629345</v>
      </c>
    </row>
    <row r="16" spans="1:8" x14ac:dyDescent="0.15">
      <c r="A16">
        <v>1.85407284622441</v>
      </c>
      <c r="B16">
        <v>0.86446951284625062</v>
      </c>
      <c r="C16">
        <v>0</v>
      </c>
      <c r="D16">
        <v>29.283536723405163</v>
      </c>
      <c r="E16">
        <v>19.720761670119387</v>
      </c>
    </row>
    <row r="17" spans="1:5" x14ac:dyDescent="0.15">
      <c r="A17">
        <v>1.75129930405808</v>
      </c>
      <c r="B17">
        <v>13.214531320077738</v>
      </c>
      <c r="C17">
        <v>8.3976732460542891</v>
      </c>
      <c r="D17">
        <v>5.8843470943766949</v>
      </c>
      <c r="E17">
        <v>7.0233649821668829</v>
      </c>
    </row>
    <row r="18" spans="1:5" ht="15" x14ac:dyDescent="0.15">
      <c r="C18" s="1"/>
      <c r="D18">
        <v>0.86446951284625062</v>
      </c>
      <c r="E18">
        <v>0</v>
      </c>
    </row>
    <row r="19" spans="1:5" ht="15" x14ac:dyDescent="0.15">
      <c r="C19" s="1"/>
      <c r="D19">
        <v>13.214531320077738</v>
      </c>
      <c r="E19">
        <v>8.3976732460542891</v>
      </c>
    </row>
    <row r="20" spans="1:5" ht="15" x14ac:dyDescent="0.15">
      <c r="C20" s="1"/>
    </row>
    <row r="21" spans="1:5" ht="15" x14ac:dyDescent="0.15">
      <c r="A21" s="1"/>
      <c r="B21" s="1"/>
      <c r="C21" s="1"/>
    </row>
    <row r="22" spans="1:5" ht="15" x14ac:dyDescent="0.15">
      <c r="A22" s="1"/>
      <c r="B22" s="1"/>
      <c r="C22" s="1"/>
    </row>
    <row r="23" spans="1:5" ht="15" x14ac:dyDescent="0.15">
      <c r="A23" s="1"/>
      <c r="B23" s="1"/>
      <c r="C23" s="1"/>
    </row>
    <row r="24" spans="1:5" ht="15" x14ac:dyDescent="0.15">
      <c r="A24" s="1"/>
      <c r="B24" s="1"/>
      <c r="C24" s="1"/>
    </row>
    <row r="25" spans="1:5" ht="15" x14ac:dyDescent="0.15">
      <c r="A25" s="1"/>
      <c r="B25" s="1"/>
      <c r="C25" s="1"/>
    </row>
    <row r="26" spans="1:5" ht="15" x14ac:dyDescent="0.15">
      <c r="A26" s="1"/>
      <c r="B26" s="1"/>
      <c r="C26" s="1"/>
    </row>
    <row r="27" spans="1:5" ht="15" x14ac:dyDescent="0.15">
      <c r="A27" s="1"/>
      <c r="B27" s="1"/>
      <c r="C27" s="1"/>
    </row>
    <row r="28" spans="1:5" ht="15" x14ac:dyDescent="0.15">
      <c r="A28" s="1"/>
      <c r="B28" s="1"/>
      <c r="C28" s="1"/>
    </row>
    <row r="29" spans="1:5" ht="15" x14ac:dyDescent="0.15">
      <c r="A29" s="1"/>
      <c r="B29" s="1"/>
      <c r="C29" s="1"/>
    </row>
    <row r="30" spans="1:5" ht="15" x14ac:dyDescent="0.15">
      <c r="A30" s="1"/>
      <c r="B30" s="1"/>
      <c r="C30" s="1"/>
    </row>
    <row r="31" spans="1:5" x14ac:dyDescent="0.15">
      <c r="A31" s="2" t="s">
        <v>3</v>
      </c>
      <c r="B31" s="3">
        <f>nscoe(B5:B28,C5:C28,TRUE)</f>
        <v>0.80740934118849839</v>
      </c>
      <c r="C31" s="3"/>
    </row>
    <row r="32" spans="1:5" x14ac:dyDescent="0.15">
      <c r="A32" s="2" t="s">
        <v>5</v>
      </c>
      <c r="B32">
        <f>perr(B5:B30,C5:C30,TRUE)</f>
        <v>-13.960336063008015</v>
      </c>
    </row>
    <row r="33" spans="1:2" x14ac:dyDescent="0.15">
      <c r="A33" s="2" t="s">
        <v>6</v>
      </c>
      <c r="B33">
        <f>pbias(B5:B30,C5:C30,TRUE)</f>
        <v>13.960336063008031</v>
      </c>
    </row>
    <row r="34" spans="1:2" x14ac:dyDescent="0.15">
      <c r="A34" s="2" t="s">
        <v>7</v>
      </c>
      <c r="B34">
        <f>rsquare(B5:B30,C5:C30,TRUE)</f>
        <v>0.95651333250316517</v>
      </c>
    </row>
    <row r="35" spans="1:2" x14ac:dyDescent="0.15">
      <c r="A35" s="2" t="s">
        <v>8</v>
      </c>
      <c r="B35">
        <f>rsr(B5:B17,C5:C17,TRUE)</f>
        <v>0.43885152251245707</v>
      </c>
    </row>
    <row r="36" spans="1:2" x14ac:dyDescent="0.15">
      <c r="A36" s="2" t="s">
        <v>11</v>
      </c>
      <c r="B36">
        <f>mae(B5:B17,C5:C17,TRUE)</f>
        <v>2.3278829033594599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zlj@lreis.ac.cn</dc:creator>
  <cp:lastModifiedBy>朱良君</cp:lastModifiedBy>
  <dcterms:created xsi:type="dcterms:W3CDTF">2006-09-16T00:00:00Z</dcterms:created>
  <dcterms:modified xsi:type="dcterms:W3CDTF">2016-11-11T08:05:44Z</dcterms:modified>
</cp:coreProperties>
</file>